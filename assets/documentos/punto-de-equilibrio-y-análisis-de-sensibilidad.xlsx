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Escritorio\"/>
    </mc:Choice>
  </mc:AlternateContent>
  <xr:revisionPtr revIDLastSave="0" documentId="8_{0CEAB7F2-FA78-407B-A4A6-36326EC47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nto de equilibri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B13" i="2" s="1"/>
  <c r="G10" i="2"/>
  <c r="H10" i="2"/>
  <c r="I10" i="2"/>
  <c r="F8" i="2"/>
  <c r="F9" i="2"/>
  <c r="F10" i="2"/>
  <c r="H7" i="2" l="1"/>
  <c r="H8" i="2" s="1"/>
  <c r="F11" i="2"/>
  <c r="F12" i="2" s="1"/>
  <c r="E13" i="2"/>
  <c r="H9" i="2"/>
  <c r="H11" i="2" s="1"/>
  <c r="H12" i="2" s="1"/>
  <c r="G7" i="2"/>
  <c r="G9" i="2" l="1"/>
  <c r="G11" i="2" s="1"/>
  <c r="G8" i="2"/>
  <c r="G12" i="2" s="1"/>
  <c r="I7" i="2"/>
  <c r="I9" i="2" l="1"/>
  <c r="I11" i="2" s="1"/>
  <c r="I8" i="2"/>
  <c r="I12" i="2" s="1"/>
</calcChain>
</file>

<file path=xl/sharedStrings.xml><?xml version="1.0" encoding="utf-8"?>
<sst xmlns="http://schemas.openxmlformats.org/spreadsheetml/2006/main" count="26" uniqueCount="24">
  <si>
    <t>Precio Venta</t>
  </si>
  <si>
    <t>Q Ventas</t>
  </si>
  <si>
    <t>Pto. Equilibrio</t>
  </si>
  <si>
    <t>$ Ventas</t>
  </si>
  <si>
    <t>Costo Variable</t>
  </si>
  <si>
    <t>Costo Fijo</t>
  </si>
  <si>
    <t>Costo Total</t>
  </si>
  <si>
    <t>Beneficio</t>
  </si>
  <si>
    <t>&lt; Completar</t>
  </si>
  <si>
    <t>Q de Equilibrio</t>
  </si>
  <si>
    <t>Datos para el gráfico</t>
  </si>
  <si>
    <t>Datos iniciales</t>
  </si>
  <si>
    <t>Coste Unitario</t>
  </si>
  <si>
    <t>Gastos Fijos Mes</t>
  </si>
  <si>
    <t>El punto de equilibrio es aquel punto donde los Ingresos totales se igualan a los Costes totales.</t>
  </si>
  <si>
    <t>$ de Equilibrio</t>
  </si>
  <si>
    <t>$ Ventas Equilibrio</t>
  </si>
  <si>
    <t>Vendiendo por encima de dicho punto se obtienen beneficios y vendiendo por debajo se obtienen pérdidas.</t>
  </si>
  <si>
    <t>P.E.</t>
  </si>
  <si>
    <t>PERDIDA</t>
  </si>
  <si>
    <t>UTILIDAD</t>
  </si>
  <si>
    <t>Plantilla De Punto de equilibrio</t>
  </si>
  <si>
    <t xml:space="preserve">Nota: El tipo de grafico utilizado es el de dispersión y para que funcione después de agregarlo tiene que ir la pestaña diseño de grafico y en el grupo datos usar el comando cambiar fila/columna.
</t>
  </si>
  <si>
    <t>[ Nombre Compañía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</si>
</sst>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name val="Courier New"/>
    </font>
    <font>
      <u/>
      <sz val="10"/>
      <color indexed="12"/>
      <name val="Courier New"/>
      <family val="3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1"/>
      <color indexed="12"/>
      <name val="Calibri"/>
      <family val="2"/>
    </font>
    <font>
      <sz val="11"/>
      <color indexed="12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Arial"/>
      <family val="2"/>
    </font>
    <font>
      <b/>
      <sz val="22"/>
      <color theme="4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sz val="20"/>
      <color theme="1"/>
      <name val="Century Gothic"/>
      <family val="1"/>
    </font>
    <font>
      <sz val="11"/>
      <color theme="1"/>
      <name val="Century Gothic Bold"/>
    </font>
    <font>
      <sz val="24"/>
      <color theme="3" tint="0.39997558519241921"/>
      <name val="Century Gothic"/>
      <family val="1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24"/>
      <color theme="0" tint="-0.34998626667073579"/>
      <name val="Century Gothic"/>
      <family val="1"/>
    </font>
    <font>
      <b/>
      <sz val="24"/>
      <color theme="4"/>
      <name val="Century Gothic"/>
      <family val="1"/>
    </font>
    <font>
      <sz val="24"/>
      <color theme="1"/>
      <name val="Century Gothic"/>
      <family val="1"/>
    </font>
    <font>
      <sz val="11"/>
      <name val="Courier New"/>
      <family val="3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rgb="FF00CC0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1" applyNumberFormat="0" applyAlignment="0" applyProtection="0"/>
    <xf numFmtId="0" fontId="13" fillId="17" borderId="2" applyNumberFormat="0" applyAlignment="0" applyProtection="0"/>
    <xf numFmtId="0" fontId="14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6" fillId="7" borderId="1" applyNumberFormat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3" borderId="0" applyNumberFormat="0" applyBorder="0" applyAlignment="0" applyProtection="0"/>
    <xf numFmtId="0" fontId="18" fillId="22" borderId="0" applyNumberFormat="0" applyBorder="0" applyAlignment="0" applyProtection="0"/>
    <xf numFmtId="0" fontId="9" fillId="23" borderId="4" applyNumberFormat="0" applyFont="0" applyAlignment="0" applyProtection="0"/>
    <xf numFmtId="0" fontId="19" fillId="16" borderId="5" applyNumberFormat="0" applyAlignment="0" applyProtection="0"/>
    <xf numFmtId="0" fontId="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15" fillId="0" borderId="7" applyNumberFormat="0" applyFill="0" applyAlignment="0" applyProtection="0"/>
    <xf numFmtId="0" fontId="23" fillId="0" borderId="8" applyNumberFormat="0" applyFill="0" applyAlignment="0" applyProtection="0"/>
    <xf numFmtId="0" fontId="36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9" xfId="0" applyFont="1" applyBorder="1"/>
    <xf numFmtId="3" fontId="5" fillId="0" borderId="10" xfId="0" applyNumberFormat="1" applyFont="1" applyBorder="1" applyAlignment="1">
      <alignment horizontal="center"/>
    </xf>
    <xf numFmtId="3" fontId="6" fillId="24" borderId="10" xfId="0" applyNumberFormat="1" applyFont="1" applyFill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3" fillId="0" borderId="12" xfId="0" applyFont="1" applyBorder="1"/>
    <xf numFmtId="3" fontId="5" fillId="0" borderId="0" xfId="0" applyNumberFormat="1" applyFont="1" applyAlignment="1">
      <alignment horizontal="center"/>
    </xf>
    <xf numFmtId="3" fontId="5" fillId="0" borderId="13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8" fillId="0" borderId="0" xfId="0" applyFont="1"/>
    <xf numFmtId="3" fontId="7" fillId="0" borderId="13" xfId="0" applyNumberFormat="1" applyFont="1" applyBorder="1" applyAlignment="1">
      <alignment horizontal="center"/>
    </xf>
    <xf numFmtId="0" fontId="3" fillId="0" borderId="14" xfId="0" applyFont="1" applyBorder="1"/>
    <xf numFmtId="3" fontId="5" fillId="0" borderId="15" xfId="0" applyNumberFormat="1" applyFont="1" applyBorder="1" applyAlignment="1">
      <alignment horizontal="center"/>
    </xf>
    <xf numFmtId="3" fontId="5" fillId="0" borderId="16" xfId="0" applyNumberFormat="1" applyFont="1" applyBorder="1" applyAlignment="1">
      <alignment horizontal="center"/>
    </xf>
    <xf numFmtId="3" fontId="6" fillId="24" borderId="16" xfId="0" applyNumberFormat="1" applyFont="1" applyFill="1" applyBorder="1" applyAlignment="1">
      <alignment horizontal="center"/>
    </xf>
    <xf numFmtId="0" fontId="3" fillId="0" borderId="17" xfId="0" applyFont="1" applyBorder="1"/>
    <xf numFmtId="3" fontId="3" fillId="0" borderId="18" xfId="0" applyNumberFormat="1" applyFont="1" applyBorder="1"/>
    <xf numFmtId="3" fontId="4" fillId="24" borderId="18" xfId="0" applyNumberFormat="1" applyFont="1" applyFill="1" applyBorder="1"/>
    <xf numFmtId="3" fontId="3" fillId="0" borderId="19" xfId="0" applyNumberFormat="1" applyFont="1" applyBorder="1"/>
    <xf numFmtId="0" fontId="1" fillId="0" borderId="0" xfId="30" applyAlignment="1" applyProtection="1"/>
    <xf numFmtId="3" fontId="6" fillId="24" borderId="0" xfId="0" applyNumberFormat="1" applyFont="1" applyFill="1" applyAlignment="1">
      <alignment horizontal="center"/>
    </xf>
    <xf numFmtId="3" fontId="6" fillId="24" borderId="15" xfId="0" applyNumberFormat="1" applyFont="1" applyFill="1" applyBorder="1" applyAlignment="1">
      <alignment horizontal="center"/>
    </xf>
    <xf numFmtId="0" fontId="1" fillId="0" borderId="0" xfId="30" applyBorder="1" applyAlignment="1" applyProtection="1">
      <alignment vertical="center"/>
    </xf>
    <xf numFmtId="0" fontId="1" fillId="0" borderId="0" xfId="30" applyBorder="1" applyAlignment="1" applyProtection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/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0" fontId="34" fillId="25" borderId="0" xfId="0" applyFont="1" applyFill="1"/>
    <xf numFmtId="0" fontId="35" fillId="25" borderId="0" xfId="0" applyFont="1" applyFill="1"/>
    <xf numFmtId="0" fontId="34" fillId="25" borderId="0" xfId="0" applyFont="1" applyFill="1" applyAlignment="1">
      <alignment horizontal="center" vertical="center"/>
    </xf>
    <xf numFmtId="0" fontId="25" fillId="25" borderId="0" xfId="0" applyFont="1" applyFill="1" applyAlignment="1">
      <alignment horizontal="center" vertical="center"/>
    </xf>
    <xf numFmtId="0" fontId="35" fillId="25" borderId="9" xfId="0" applyFont="1" applyFill="1" applyBorder="1" applyAlignment="1">
      <alignment horizontal="right"/>
    </xf>
    <xf numFmtId="0" fontId="35" fillId="25" borderId="12" xfId="0" applyFont="1" applyFill="1" applyBorder="1" applyAlignment="1">
      <alignment horizontal="right"/>
    </xf>
    <xf numFmtId="0" fontId="35" fillId="25" borderId="14" xfId="0" applyFont="1" applyFill="1" applyBorder="1" applyAlignment="1">
      <alignment horizontal="right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24" fillId="25" borderId="17" xfId="0" applyFont="1" applyFill="1" applyBorder="1" applyAlignment="1">
      <alignment horizontal="center"/>
    </xf>
    <xf numFmtId="0" fontId="24" fillId="25" borderId="18" xfId="0" applyFont="1" applyFill="1" applyBorder="1" applyAlignment="1">
      <alignment horizontal="center"/>
    </xf>
    <xf numFmtId="0" fontId="24" fillId="25" borderId="19" xfId="0" applyFont="1" applyFill="1" applyBorder="1" applyAlignment="1">
      <alignment horizontal="center"/>
    </xf>
    <xf numFmtId="0" fontId="40" fillId="0" borderId="0" xfId="0" applyFont="1" applyAlignment="1">
      <alignment horizontal="left" vertical="top" wrapText="1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Incorrecto" xfId="31" builtinId="27" customBuiltin="1"/>
    <cellStyle name="Neutral" xfId="32" builtinId="28" customBuiltin="1"/>
    <cellStyle name="Normal" xfId="0" builtinId="0"/>
    <cellStyle name="Normal 2" xfId="41" xr:uid="{00000000-0005-0000-0000-000021000000}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Punto</a:t>
            </a:r>
            <a:r>
              <a:rPr lang="es-DO" baseline="0"/>
              <a:t> de equilibrio</a:t>
            </a:r>
            <a:endParaRPr lang="es-D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'Punto de equilibrio'!$E$8</c:f>
              <c:strCache>
                <c:ptCount val="1"/>
                <c:pt idx="0">
                  <c:v>$ Ventas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'Punto de equilibrio'!$F$7:$I$7</c:f>
              <c:numCache>
                <c:formatCode>#,##0</c:formatCode>
                <c:ptCount val="4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</c:numCache>
            </c:numRef>
          </c:xVal>
          <c:yVal>
            <c:numRef>
              <c:f>'Punto de equilibrio'!$F$8:$I$8</c:f>
              <c:numCache>
                <c:formatCode>#,##0</c:formatCode>
                <c:ptCount val="4"/>
                <c:pt idx="0">
                  <c:v>0</c:v>
                </c:pt>
                <c:pt idx="1">
                  <c:v>3750</c:v>
                </c:pt>
                <c:pt idx="2">
                  <c:v>7500</c:v>
                </c:pt>
                <c:pt idx="3">
                  <c:v>11250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0-4397-B37C-31F35D343B78}"/>
            </c:ext>
          </c:extLst>
        </c:ser>
        <c:ser>
          <c:idx val="1"/>
          <c:order val="1"/>
          <c:tx>
            <c:strRef>
              <c:f>'Punto de equilibrio'!$E$9</c:f>
              <c:strCache>
                <c:ptCount val="1"/>
                <c:pt idx="0">
                  <c:v>Costo Variable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'Punto de equilibrio'!$F$7:$I$7</c:f>
              <c:numCache>
                <c:formatCode>#,##0</c:formatCode>
                <c:ptCount val="4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</c:numCache>
            </c:numRef>
          </c:xVal>
          <c:yVal>
            <c:numRef>
              <c:f>'Punto de equilibrio'!$F$9:$I$9</c:f>
              <c:numCache>
                <c:formatCode>#,##0</c:formatCode>
                <c:ptCount val="4"/>
                <c:pt idx="0">
                  <c:v>0</c:v>
                </c:pt>
                <c:pt idx="1">
                  <c:v>2250</c:v>
                </c:pt>
                <c:pt idx="2">
                  <c:v>4500</c:v>
                </c:pt>
                <c:pt idx="3">
                  <c:v>6750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0-4397-B37C-31F35D343B78}"/>
            </c:ext>
          </c:extLst>
        </c:ser>
        <c:ser>
          <c:idx val="2"/>
          <c:order val="2"/>
          <c:tx>
            <c:strRef>
              <c:f>'Punto de equilibrio'!$E$10</c:f>
              <c:strCache>
                <c:ptCount val="1"/>
                <c:pt idx="0">
                  <c:v>Costo Fijo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'Punto de equilibrio'!$F$7:$I$7</c:f>
              <c:numCache>
                <c:formatCode>#,##0</c:formatCode>
                <c:ptCount val="4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</c:numCache>
            </c:numRef>
          </c:xVal>
          <c:yVal>
            <c:numRef>
              <c:f>'Punto de equilibrio'!$F$10:$I$10</c:f>
              <c:numCache>
                <c:formatCode>#,##0</c:formatCode>
                <c:ptCount val="4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B0-4397-B37C-31F35D343B78}"/>
            </c:ext>
          </c:extLst>
        </c:ser>
        <c:ser>
          <c:idx val="3"/>
          <c:order val="3"/>
          <c:tx>
            <c:strRef>
              <c:f>'Punto de equilibrio'!$E$11</c:f>
              <c:strCache>
                <c:ptCount val="1"/>
                <c:pt idx="0">
                  <c:v>Costo Total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'Punto de equilibrio'!$F$7:$I$7</c:f>
              <c:numCache>
                <c:formatCode>#,##0</c:formatCode>
                <c:ptCount val="4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</c:numCache>
            </c:numRef>
          </c:xVal>
          <c:yVal>
            <c:numRef>
              <c:f>'Punto de equilibrio'!$F$11:$I$11</c:f>
              <c:numCache>
                <c:formatCode>#,##0</c:formatCode>
                <c:ptCount val="4"/>
                <c:pt idx="0">
                  <c:v>3000</c:v>
                </c:pt>
                <c:pt idx="1">
                  <c:v>5250</c:v>
                </c:pt>
                <c:pt idx="2">
                  <c:v>7500</c:v>
                </c:pt>
                <c:pt idx="3">
                  <c:v>9750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0-4397-B37C-31F35D343B78}"/>
            </c:ext>
          </c:extLst>
        </c:ser>
        <c:ser>
          <c:idx val="4"/>
          <c:order val="4"/>
          <c:tx>
            <c:strRef>
              <c:f>'Punto de equilibrio'!$E$12</c:f>
              <c:strCache>
                <c:ptCount val="1"/>
                <c:pt idx="0">
                  <c:v>Beneficio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'Punto de equilibrio'!$F$7:$I$7</c:f>
              <c:numCache>
                <c:formatCode>#,##0</c:formatCode>
                <c:ptCount val="4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</c:numCache>
            </c:numRef>
          </c:xVal>
          <c:yVal>
            <c:numRef>
              <c:f>'Punto de equilibrio'!$F$12:$I$12</c:f>
              <c:numCache>
                <c:formatCode>#,##0</c:formatCode>
                <c:ptCount val="4"/>
                <c:pt idx="0">
                  <c:v>-3000</c:v>
                </c:pt>
                <c:pt idx="1">
                  <c:v>-1500</c:v>
                </c:pt>
                <c:pt idx="2">
                  <c:v>0</c:v>
                </c:pt>
                <c:pt idx="3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0-4397-B37C-31F35D34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538127"/>
        <c:axId val="1342300943"/>
      </c:scatterChart>
      <c:valAx>
        <c:axId val="125053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342300943"/>
        <c:crosses val="autoZero"/>
        <c:crossBetween val="midCat"/>
      </c:valAx>
      <c:valAx>
        <c:axId val="13423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250538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https://siempreexcel.com/plantilla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786765</xdr:colOff>
      <xdr:row>3</xdr:row>
      <xdr:rowOff>123825</xdr:rowOff>
    </xdr:from>
    <xdr:to>
      <xdr:col>12</xdr:col>
      <xdr:colOff>558165</xdr:colOff>
      <xdr:row>26</xdr:row>
      <xdr:rowOff>133350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rrowheads="1"/>
        </xdr:cNvSpPr>
      </xdr:nvSpPr>
      <xdr:spPr bwMode="auto">
        <a:xfrm>
          <a:off x="7800975" y="790575"/>
          <a:ext cx="2286000" cy="4143375"/>
        </a:xfrm>
        <a:prstGeom prst="foldedCorner">
          <a:avLst>
            <a:gd name="adj" fmla="val 12500"/>
          </a:avLst>
        </a:prstGeom>
        <a:ln>
          <a:solidFill>
            <a:srgbClr val="00B050"/>
          </a:solidFill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900" b="1" i="0" u="sng" strike="noStrike">
              <a:solidFill>
                <a:srgbClr val="00B050"/>
              </a:solidFill>
              <a:latin typeface="Arial"/>
              <a:cs typeface="Arial"/>
            </a:rPr>
            <a:t>Derivación de la fórmula:</a:t>
          </a:r>
          <a:endParaRPr lang="es-ES" sz="900" b="0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900" b="0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Q = cantidad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Qe = cantidad de equilibrio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VT = ventas totales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VTe = ventas totales de equilibrio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CT = costes totales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Cu = coste unitario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Pu = precio unitario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Mu = margen unitario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CV = costes variables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CF = costes fijos</a:t>
          </a:r>
        </a:p>
        <a:p>
          <a:pPr algn="l" rtl="1">
            <a:defRPr sz="1000"/>
          </a:pPr>
          <a:endParaRPr lang="es-ES" sz="900" b="0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ES" sz="900" b="0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900" b="1" i="0" strike="noStrike">
              <a:solidFill>
                <a:srgbClr val="00B050"/>
              </a:solidFill>
              <a:latin typeface="Arial"/>
              <a:cs typeface="Arial"/>
            </a:rPr>
            <a:t>VT - CT = 0</a:t>
          </a:r>
          <a:endParaRPr lang="es-ES" sz="900" b="0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VT - CV - CF = 0</a:t>
          </a:r>
        </a:p>
        <a:p>
          <a:pPr algn="l" rtl="1">
            <a:defRPr sz="1000"/>
          </a:pPr>
          <a:r>
            <a:rPr lang="es-ES" sz="900" b="0" i="0" strike="noStrike">
              <a:solidFill>
                <a:srgbClr val="00B050"/>
              </a:solidFill>
              <a:latin typeface="Arial"/>
              <a:cs typeface="Arial"/>
            </a:rPr>
            <a:t>Pu * Q - Cu * Q - CF = 0</a:t>
          </a:r>
          <a:endParaRPr lang="es-ES" sz="1000" b="0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1000" b="0" i="0" strike="noStrike">
              <a:solidFill>
                <a:srgbClr val="00B050"/>
              </a:solidFill>
              <a:latin typeface="Arial"/>
              <a:cs typeface="Arial"/>
            </a:rPr>
            <a:t>CF = Pu * Q - Cu * Q</a:t>
          </a:r>
        </a:p>
        <a:p>
          <a:pPr algn="l" rtl="1">
            <a:defRPr sz="1000"/>
          </a:pPr>
          <a:r>
            <a:rPr lang="es-ES" sz="1000" b="0" i="0" strike="noStrike">
              <a:solidFill>
                <a:srgbClr val="00B050"/>
              </a:solidFill>
              <a:latin typeface="Arial"/>
              <a:cs typeface="Arial"/>
            </a:rPr>
            <a:t>CF = Q * (Pu-Cu)</a:t>
          </a:r>
        </a:p>
        <a:p>
          <a:pPr algn="l" rtl="1">
            <a:defRPr sz="1000"/>
          </a:pPr>
          <a:r>
            <a:rPr lang="es-ES" sz="1000" b="0" i="0" strike="noStrike">
              <a:solidFill>
                <a:srgbClr val="00B050"/>
              </a:solidFill>
              <a:latin typeface="Arial"/>
              <a:cs typeface="Arial"/>
            </a:rPr>
            <a:t>CF = Q * Mu</a:t>
          </a:r>
        </a:p>
        <a:p>
          <a:pPr algn="l" rtl="1">
            <a:defRPr sz="1000"/>
          </a:pPr>
          <a:r>
            <a:rPr lang="es-ES" sz="1000" b="1" i="0" strike="noStrike">
              <a:solidFill>
                <a:srgbClr val="00B050"/>
              </a:solidFill>
              <a:latin typeface="Arial"/>
              <a:cs typeface="Arial"/>
            </a:rPr>
            <a:t>Qe = CF / Mu</a:t>
          </a:r>
        </a:p>
        <a:p>
          <a:pPr algn="l" rtl="1">
            <a:defRPr sz="1000"/>
          </a:pPr>
          <a:endParaRPr lang="es-ES" sz="1000" b="1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1000" b="1" i="0" strike="noStrike">
              <a:solidFill>
                <a:srgbClr val="00B050"/>
              </a:solidFill>
              <a:latin typeface="Arial"/>
              <a:cs typeface="Arial"/>
            </a:rPr>
            <a:t>VTe = Qe * Pu</a:t>
          </a:r>
        </a:p>
        <a:p>
          <a:pPr algn="l" rtl="1">
            <a:defRPr sz="1000"/>
          </a:pPr>
          <a:endParaRPr lang="es-ES" sz="1000" b="1" i="0" strike="noStrike">
            <a:solidFill>
              <a:srgbClr val="00B05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ES" sz="1000" b="1" i="0" strike="noStrike">
              <a:solidFill>
                <a:srgbClr val="00B050"/>
              </a:solidFill>
              <a:latin typeface="Arial"/>
              <a:cs typeface="Arial"/>
            </a:rPr>
            <a:t>ITe = Qe * (Pu</a:t>
          </a:r>
          <a:endParaRPr lang="es-ES" sz="1000" b="0" i="0" strike="noStrike">
            <a:solidFill>
              <a:srgbClr val="00B050"/>
            </a:solidFill>
            <a:latin typeface="Courier New"/>
            <a:cs typeface="Courier New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B050"/>
            </a:solidFill>
            <a:latin typeface="Courier New"/>
            <a:cs typeface="Courier New"/>
          </a:endParaRPr>
        </a:p>
        <a:p>
          <a:pPr algn="l" rtl="1">
            <a:defRPr sz="1000"/>
          </a:pPr>
          <a:endParaRPr lang="es-ES" sz="1000" b="0" i="0" strike="noStrike">
            <a:solidFill>
              <a:srgbClr val="00B050"/>
            </a:solidFill>
            <a:latin typeface="Courier New"/>
            <a:cs typeface="Courier New"/>
          </a:endParaRPr>
        </a:p>
      </xdr:txBody>
    </xdr:sp>
    <xdr:clientData/>
  </xdr:twoCellAnchor>
  <xdr:twoCellAnchor>
    <xdr:from>
      <xdr:col>9</xdr:col>
      <xdr:colOff>259080</xdr:colOff>
      <xdr:row>0</xdr:row>
      <xdr:rowOff>381000</xdr:rowOff>
    </xdr:from>
    <xdr:to>
      <xdr:col>12</xdr:col>
      <xdr:colOff>525780</xdr:colOff>
      <xdr:row>1</xdr:row>
      <xdr:rowOff>121920</xdr:rowOff>
    </xdr:to>
    <xdr:sp macro="" textlink="">
      <xdr:nvSpPr>
        <xdr:cNvPr id="9" name="Rectá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284597-D3B4-4F14-B53A-238A5FB2AF2A}"/>
            </a:ext>
          </a:extLst>
        </xdr:cNvPr>
        <xdr:cNvSpPr/>
      </xdr:nvSpPr>
      <xdr:spPr>
        <a:xfrm>
          <a:off x="7307580" y="381000"/>
          <a:ext cx="2827020" cy="373380"/>
        </a:xfrm>
        <a:prstGeom prst="rect">
          <a:avLst/>
        </a:prstGeom>
        <a:solidFill>
          <a:srgbClr val="00B050"/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DO" sz="1400"/>
            <a:t>Más</a:t>
          </a:r>
          <a:r>
            <a:rPr lang="es-DO" sz="1400" baseline="0"/>
            <a:t> Plantillas De </a:t>
          </a:r>
          <a:r>
            <a:rPr lang="es-DO" sz="1400" u="sng" baseline="0"/>
            <a:t>Siempreexcel</a:t>
          </a:r>
          <a:endParaRPr lang="es-DO" sz="1400" u="sng"/>
        </a:p>
      </xdr:txBody>
    </xdr:sp>
    <xdr:clientData/>
  </xdr:twoCellAnchor>
  <xdr:twoCellAnchor>
    <xdr:from>
      <xdr:col>1</xdr:col>
      <xdr:colOff>681038</xdr:colOff>
      <xdr:row>14</xdr:row>
      <xdr:rowOff>138113</xdr:rowOff>
    </xdr:from>
    <xdr:to>
      <xdr:col>8</xdr:col>
      <xdr:colOff>261938</xdr:colOff>
      <xdr:row>30</xdr:row>
      <xdr:rowOff>138113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B55A69-ED1E-4FA4-A9D2-02190A15F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36"/>
  <sheetViews>
    <sheetView showGridLines="0" tabSelected="1" zoomScale="68" zoomScaleNormal="68" workbookViewId="0">
      <selection activeCell="P5" sqref="P5"/>
    </sheetView>
  </sheetViews>
  <sheetFormatPr baseColWidth="10" defaultRowHeight="13.8"/>
  <cols>
    <col min="1" max="1" width="16" bestFit="1" customWidth="1"/>
    <col min="2" max="2" width="9" customWidth="1"/>
    <col min="4" max="4" width="5.09765625" customWidth="1"/>
    <col min="5" max="5" width="12.69921875" customWidth="1"/>
    <col min="6" max="8" width="9.09765625" customWidth="1"/>
  </cols>
  <sheetData>
    <row r="1" spans="1:17" s="30" customFormat="1" ht="49.95" customHeight="1">
      <c r="A1" s="27"/>
      <c r="B1" s="44" t="s">
        <v>21</v>
      </c>
      <c r="C1" s="45"/>
      <c r="D1" s="45"/>
      <c r="E1" s="46"/>
      <c r="F1" s="46"/>
      <c r="G1" s="46"/>
      <c r="H1" s="29"/>
      <c r="I1" s="29"/>
      <c r="J1" s="28"/>
      <c r="K1" s="29"/>
      <c r="L1" s="29"/>
      <c r="M1" s="29"/>
      <c r="N1" s="29"/>
    </row>
    <row r="2" spans="1:17" s="31" customFormat="1" ht="36" customHeight="1">
      <c r="B2" s="32" t="s">
        <v>23</v>
      </c>
      <c r="C2" s="33"/>
      <c r="D2" s="33"/>
      <c r="E2" s="34"/>
      <c r="F2" s="35"/>
      <c r="G2" s="33"/>
      <c r="H2" s="36"/>
    </row>
    <row r="3" spans="1:17" ht="14.4">
      <c r="A3" s="2" t="s">
        <v>14</v>
      </c>
      <c r="B3" s="2"/>
      <c r="C3" s="2"/>
      <c r="D3" s="2"/>
      <c r="E3" s="2"/>
      <c r="F3" s="2"/>
      <c r="G3" s="2"/>
      <c r="H3" s="2"/>
      <c r="I3" s="2"/>
    </row>
    <row r="4" spans="1:17" ht="14.4">
      <c r="A4" s="2" t="s">
        <v>17</v>
      </c>
      <c r="B4" s="2"/>
      <c r="C4" s="2"/>
      <c r="D4" s="2"/>
      <c r="E4" s="2"/>
      <c r="F4" s="2"/>
      <c r="G4" s="2"/>
      <c r="H4" s="2"/>
      <c r="I4" s="2"/>
    </row>
    <row r="5" spans="1:17" ht="14.4">
      <c r="A5" s="22"/>
      <c r="B5" s="2"/>
      <c r="C5" s="2"/>
      <c r="D5" s="2"/>
      <c r="E5" s="2"/>
      <c r="F5" s="2"/>
      <c r="G5" s="2"/>
      <c r="H5" s="2"/>
      <c r="I5" s="2"/>
    </row>
    <row r="6" spans="1:17" ht="18">
      <c r="A6" s="2"/>
      <c r="B6" s="2"/>
      <c r="C6" s="2"/>
      <c r="D6" s="2"/>
      <c r="E6" s="37" t="s">
        <v>10</v>
      </c>
      <c r="F6" s="38"/>
      <c r="G6" s="39" t="s">
        <v>19</v>
      </c>
      <c r="H6" s="40" t="s">
        <v>18</v>
      </c>
      <c r="I6" s="39" t="s">
        <v>20</v>
      </c>
    </row>
    <row r="7" spans="1:17" ht="14.4">
      <c r="A7" s="2"/>
      <c r="B7" s="2"/>
      <c r="C7" s="2"/>
      <c r="D7" s="2"/>
      <c r="E7" s="4" t="s">
        <v>1</v>
      </c>
      <c r="F7" s="5">
        <v>0</v>
      </c>
      <c r="G7" s="5">
        <f>+H7/2</f>
        <v>125</v>
      </c>
      <c r="H7" s="6">
        <f>+B12</f>
        <v>250</v>
      </c>
      <c r="I7" s="7">
        <f>+H7+H7-G7</f>
        <v>375</v>
      </c>
    </row>
    <row r="8" spans="1:17" ht="14.4">
      <c r="A8" s="3" t="s">
        <v>11</v>
      </c>
      <c r="B8" s="2"/>
      <c r="C8" s="2"/>
      <c r="D8" s="2"/>
      <c r="E8" s="8" t="s">
        <v>3</v>
      </c>
      <c r="F8" s="9">
        <f>+F7*$B$9</f>
        <v>0</v>
      </c>
      <c r="G8" s="9">
        <f>+G7*$B$9</f>
        <v>3750</v>
      </c>
      <c r="H8" s="23">
        <f>+H7*$B$9</f>
        <v>7500</v>
      </c>
      <c r="I8" s="10">
        <f>+I7*$B$9</f>
        <v>11250</v>
      </c>
    </row>
    <row r="9" spans="1:17" ht="14.4">
      <c r="A9" s="41" t="s">
        <v>0</v>
      </c>
      <c r="B9" s="11">
        <v>30</v>
      </c>
      <c r="C9" s="12" t="s">
        <v>8</v>
      </c>
      <c r="D9" s="2"/>
      <c r="E9" s="8" t="s">
        <v>4</v>
      </c>
      <c r="F9" s="9">
        <f>+F7*$B$10</f>
        <v>0</v>
      </c>
      <c r="G9" s="9">
        <f>+G7*$B$10</f>
        <v>2250</v>
      </c>
      <c r="H9" s="9">
        <f>+H7*$B$10</f>
        <v>4500</v>
      </c>
      <c r="I9" s="10">
        <f>+I7*$B$10</f>
        <v>6750</v>
      </c>
    </row>
    <row r="10" spans="1:17" ht="14.4">
      <c r="A10" s="42" t="s">
        <v>12</v>
      </c>
      <c r="B10" s="13">
        <v>18</v>
      </c>
      <c r="C10" s="12" t="s">
        <v>8</v>
      </c>
      <c r="D10" s="2"/>
      <c r="E10" s="8" t="s">
        <v>5</v>
      </c>
      <c r="F10" s="9">
        <f>+$B$11</f>
        <v>3000</v>
      </c>
      <c r="G10" s="9">
        <f>+$B$11</f>
        <v>3000</v>
      </c>
      <c r="H10" s="9">
        <f>+$B$11</f>
        <v>3000</v>
      </c>
      <c r="I10" s="10">
        <f>+$B$11</f>
        <v>3000</v>
      </c>
    </row>
    <row r="11" spans="1:17" ht="14.4">
      <c r="A11" s="42" t="s">
        <v>13</v>
      </c>
      <c r="B11" s="13">
        <v>3000</v>
      </c>
      <c r="C11" s="12" t="s">
        <v>8</v>
      </c>
      <c r="D11" s="2"/>
      <c r="E11" s="14" t="s">
        <v>6</v>
      </c>
      <c r="F11" s="15">
        <f>+F9+F10</f>
        <v>3000</v>
      </c>
      <c r="G11" s="15">
        <f>+G9+G10</f>
        <v>5250</v>
      </c>
      <c r="H11" s="24">
        <f>+H9+H10</f>
        <v>7500</v>
      </c>
      <c r="I11" s="16">
        <f>+I9+I10</f>
        <v>9750</v>
      </c>
    </row>
    <row r="12" spans="1:17" ht="14.4">
      <c r="A12" s="43" t="s">
        <v>2</v>
      </c>
      <c r="B12" s="17">
        <f>+B11/(B9-B10)</f>
        <v>250</v>
      </c>
      <c r="C12" s="2" t="s">
        <v>9</v>
      </c>
      <c r="D12" s="2"/>
      <c r="E12" s="18" t="s">
        <v>7</v>
      </c>
      <c r="F12" s="19">
        <f>+F8-F11</f>
        <v>-3000</v>
      </c>
      <c r="G12" s="19">
        <f>+G8-G11</f>
        <v>-1500</v>
      </c>
      <c r="H12" s="20">
        <f>+H8-H11</f>
        <v>0</v>
      </c>
      <c r="I12" s="21">
        <f>+I8-I11</f>
        <v>1500</v>
      </c>
    </row>
    <row r="13" spans="1:17" ht="14.4">
      <c r="A13" s="43" t="s">
        <v>16</v>
      </c>
      <c r="B13" s="17">
        <f>B12*B9</f>
        <v>7500</v>
      </c>
      <c r="C13" s="2" t="s">
        <v>15</v>
      </c>
      <c r="D13" s="1"/>
      <c r="E13" s="47" t="str">
        <f>IF(B12&lt;0,"Nunca alcanzarás el punto de equilibrio con esos datos!","Para alcanzar el punto de equilibrio debes vender "&amp;TEXT(B12,"#.##0")&amp;" unidades mes")</f>
        <v>Para alcanzar el punto de equilibrio debes vender 250.0 unidades mes</v>
      </c>
      <c r="F13" s="48"/>
      <c r="G13" s="48"/>
      <c r="H13" s="48"/>
      <c r="I13" s="49"/>
    </row>
    <row r="14" spans="1:17">
      <c r="A14" s="1"/>
      <c r="B14" s="1"/>
      <c r="C14" s="1"/>
      <c r="D14" s="1"/>
      <c r="E14" s="1"/>
      <c r="F14" s="1"/>
      <c r="G14" s="1"/>
      <c r="H14" s="1"/>
      <c r="I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N16" s="25"/>
      <c r="O16" s="25"/>
      <c r="P16" s="25"/>
      <c r="Q16" s="25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3" spans="4:17" ht="207" customHeight="1">
      <c r="D33" s="50" t="s">
        <v>22</v>
      </c>
      <c r="E33" s="50"/>
      <c r="F33" s="50"/>
      <c r="G33" s="50"/>
    </row>
    <row r="36" spans="4:17">
      <c r="N36" s="26"/>
      <c r="O36" s="26"/>
      <c r="P36" s="26"/>
      <c r="Q36" s="26"/>
    </row>
  </sheetData>
  <mergeCells count="2">
    <mergeCell ref="E13:I13"/>
    <mergeCell ref="D33:G33"/>
  </mergeCells>
  <phoneticPr fontId="0" type="noConversion"/>
  <pageMargins left="0.25" right="0.25" top="0.75" bottom="0.75" header="0.3" footer="0.3"/>
  <pageSetup paperSize="120" orientation="landscape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>www.todoexcel.com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JustEXW</dc:creator>
  <dc:description/>
  <cp:lastModifiedBy>Angela Maria Mizger Betin</cp:lastModifiedBy>
  <cp:lastPrinted>2020-09-25T02:52:04Z</cp:lastPrinted>
  <dcterms:created xsi:type="dcterms:W3CDTF">2004-12-02T19:47:08Z</dcterms:created>
  <dcterms:modified xsi:type="dcterms:W3CDTF">2025-05-09T21:57:38Z</dcterms:modified>
</cp:coreProperties>
</file>